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_Gr\Desktop\"/>
    </mc:Choice>
  </mc:AlternateContent>
  <xr:revisionPtr revIDLastSave="0" documentId="13_ncr:1_{C9993476-6E98-4272-9BE6-60EC31D74269}" xr6:coauthVersionLast="47" xr6:coauthVersionMax="47" xr10:uidLastSave="{00000000-0000-0000-0000-000000000000}"/>
  <bookViews>
    <workbookView xWindow="19365" yWindow="165" windowWidth="24525" windowHeight="15090" xr2:uid="{00000000-000D-0000-FFFF-FFFF00000000}"/>
  </bookViews>
  <sheets>
    <sheet name="Sheet1" sheetId="1" r:id="rId1"/>
  </sheets>
  <definedNames>
    <definedName name="cx">Sheet1!$F$4</definedName>
    <definedName name="ec">Sheet1!$F$1</definedName>
    <definedName name="ec0">Sheet1!$B$3</definedName>
    <definedName name="ect">Sheet1!$F$2</definedName>
    <definedName name="ecu">Sheet1!$B$2</definedName>
    <definedName name="Es">Sheet1!$B$9</definedName>
    <definedName name="esu">Sheet1!$B$10</definedName>
    <definedName name="ex">Sheet1!$F$5</definedName>
    <definedName name="fc">Sheet1!$B$4</definedName>
    <definedName name="fy">Sheet1!$B$8</definedName>
    <definedName name="hy">Sheet1!$B$12</definedName>
    <definedName name="Yg">Sheet1!$B$13</definedName>
    <definedName name="yn">Sheet1!$F$3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T2" i="1"/>
  <c r="F2" i="1"/>
  <c r="F3" i="1" s="1"/>
  <c r="S3" i="1"/>
  <c r="S2" i="1"/>
  <c r="M23" i="1"/>
  <c r="M22" i="1"/>
  <c r="M24" i="1" s="1"/>
  <c r="N7" i="1"/>
  <c r="B13" i="1"/>
  <c r="G7" i="1"/>
  <c r="F4" i="1" l="1"/>
  <c r="F5" i="1" l="1"/>
  <c r="O10" i="1" s="1"/>
  <c r="P10" i="1" s="1"/>
  <c r="Q10" i="1" s="1"/>
  <c r="H17" i="1"/>
  <c r="I17" i="1" s="1"/>
  <c r="J17" i="1" s="1"/>
  <c r="H24" i="1" l="1"/>
  <c r="I24" i="1" s="1"/>
  <c r="J24" i="1" s="1"/>
  <c r="H23" i="1"/>
  <c r="I23" i="1" s="1"/>
  <c r="J23" i="1" s="1"/>
  <c r="H43" i="1"/>
  <c r="I43" i="1" s="1"/>
  <c r="J43" i="1" s="1"/>
  <c r="H15" i="1"/>
  <c r="I15" i="1" s="1"/>
  <c r="J15" i="1" s="1"/>
  <c r="H16" i="1"/>
  <c r="I16" i="1" s="1"/>
  <c r="J16" i="1" s="1"/>
  <c r="H27" i="1"/>
  <c r="I27" i="1" s="1"/>
  <c r="J27" i="1" s="1"/>
  <c r="H38" i="1"/>
  <c r="I38" i="1" s="1"/>
  <c r="J38" i="1" s="1"/>
  <c r="H25" i="1"/>
  <c r="I25" i="1" s="1"/>
  <c r="J25" i="1" s="1"/>
  <c r="H11" i="1"/>
  <c r="I11" i="1" s="1"/>
  <c r="J11" i="1" s="1"/>
  <c r="H47" i="1"/>
  <c r="I47" i="1" s="1"/>
  <c r="J47" i="1" s="1"/>
  <c r="H14" i="1"/>
  <c r="I14" i="1" s="1"/>
  <c r="J14" i="1" s="1"/>
  <c r="H44" i="1"/>
  <c r="I44" i="1" s="1"/>
  <c r="J44" i="1" s="1"/>
  <c r="H26" i="1"/>
  <c r="I26" i="1" s="1"/>
  <c r="J26" i="1" s="1"/>
  <c r="H32" i="1"/>
  <c r="I32" i="1" s="1"/>
  <c r="J32" i="1" s="1"/>
  <c r="H29" i="1"/>
  <c r="I29" i="1" s="1"/>
  <c r="J29" i="1" s="1"/>
  <c r="H35" i="1"/>
  <c r="I35" i="1" s="1"/>
  <c r="J35" i="1" s="1"/>
  <c r="H41" i="1"/>
  <c r="I41" i="1" s="1"/>
  <c r="J41" i="1" s="1"/>
  <c r="H22" i="1"/>
  <c r="I22" i="1" s="1"/>
  <c r="J22" i="1" s="1"/>
  <c r="H30" i="1"/>
  <c r="I30" i="1" s="1"/>
  <c r="J30" i="1" s="1"/>
  <c r="H18" i="1"/>
  <c r="I18" i="1" s="1"/>
  <c r="J18" i="1" s="1"/>
  <c r="H21" i="1"/>
  <c r="I21" i="1" s="1"/>
  <c r="J21" i="1" s="1"/>
  <c r="H13" i="1"/>
  <c r="I13" i="1" s="1"/>
  <c r="J13" i="1" s="1"/>
  <c r="H9" i="1"/>
  <c r="I9" i="1" s="1"/>
  <c r="J9" i="1" s="1"/>
  <c r="H19" i="1"/>
  <c r="I19" i="1" s="1"/>
  <c r="J19" i="1" s="1"/>
  <c r="H46" i="1"/>
  <c r="I46" i="1" s="1"/>
  <c r="J46" i="1" s="1"/>
  <c r="H33" i="1"/>
  <c r="I33" i="1" s="1"/>
  <c r="J33" i="1" s="1"/>
  <c r="H48" i="1"/>
  <c r="I48" i="1" s="1"/>
  <c r="J48" i="1" s="1"/>
  <c r="H39" i="1"/>
  <c r="I39" i="1" s="1"/>
  <c r="J39" i="1" s="1"/>
  <c r="H36" i="1"/>
  <c r="I36" i="1" s="1"/>
  <c r="J36" i="1" s="1"/>
  <c r="H40" i="1"/>
  <c r="I40" i="1" s="1"/>
  <c r="J40" i="1" s="1"/>
  <c r="H31" i="1"/>
  <c r="I31" i="1" s="1"/>
  <c r="J31" i="1" s="1"/>
  <c r="H45" i="1"/>
  <c r="I45" i="1" s="1"/>
  <c r="J45" i="1" s="1"/>
  <c r="H12" i="1"/>
  <c r="I12" i="1" s="1"/>
  <c r="J12" i="1" s="1"/>
  <c r="H10" i="1"/>
  <c r="I10" i="1" s="1"/>
  <c r="J10" i="1" s="1"/>
  <c r="O9" i="1"/>
  <c r="P9" i="1" s="1"/>
  <c r="Q9" i="1" s="1"/>
  <c r="O13" i="1"/>
  <c r="P13" i="1" s="1"/>
  <c r="Q13" i="1" s="1"/>
  <c r="O14" i="1"/>
  <c r="P14" i="1" s="1"/>
  <c r="Q14" i="1" s="1"/>
  <c r="H37" i="1"/>
  <c r="I37" i="1" s="1"/>
  <c r="J37" i="1" s="1"/>
  <c r="H28" i="1"/>
  <c r="I28" i="1" s="1"/>
  <c r="J28" i="1" s="1"/>
  <c r="H42" i="1"/>
  <c r="I42" i="1" s="1"/>
  <c r="J42" i="1" s="1"/>
  <c r="O12" i="1"/>
  <c r="P12" i="1" s="1"/>
  <c r="Q12" i="1" s="1"/>
  <c r="H20" i="1"/>
  <c r="I20" i="1" s="1"/>
  <c r="J20" i="1" s="1"/>
  <c r="H34" i="1"/>
  <c r="I34" i="1" s="1"/>
  <c r="J34" i="1" s="1"/>
  <c r="O11" i="1"/>
  <c r="P11" i="1" s="1"/>
  <c r="Q11" i="1" s="1"/>
  <c r="J7" i="1" l="1"/>
  <c r="Q7" i="1"/>
  <c r="M2" i="1" l="1"/>
  <c r="M3" i="1" s="1"/>
  <c r="L1" i="1" l="1"/>
</calcChain>
</file>

<file path=xl/sharedStrings.xml><?xml version="1.0" encoding="utf-8"?>
<sst xmlns="http://schemas.openxmlformats.org/spreadsheetml/2006/main" count="45" uniqueCount="34">
  <si>
    <t>ystrips</t>
  </si>
  <si>
    <t>x</t>
  </si>
  <si>
    <t>y</t>
  </si>
  <si>
    <t>a</t>
  </si>
  <si>
    <t>ecu</t>
  </si>
  <si>
    <t>fc</t>
  </si>
  <si>
    <t>fy</t>
  </si>
  <si>
    <t>Es</t>
  </si>
  <si>
    <t>esu</t>
  </si>
  <si>
    <t>cx</t>
  </si>
  <si>
    <t>ex</t>
  </si>
  <si>
    <t>hy</t>
  </si>
  <si>
    <t>mm</t>
  </si>
  <si>
    <t>mm/m</t>
  </si>
  <si>
    <t>1/m</t>
  </si>
  <si>
    <t>yn</t>
  </si>
  <si>
    <t>Yg</t>
  </si>
  <si>
    <t>Mpa</t>
  </si>
  <si>
    <t>MPa</t>
  </si>
  <si>
    <t>GPa</t>
  </si>
  <si>
    <t>ec0</t>
  </si>
  <si>
    <t>ec</t>
  </si>
  <si>
    <t>rebars</t>
  </si>
  <si>
    <t>eci</t>
  </si>
  <si>
    <t>sci</t>
  </si>
  <si>
    <t>Fci</t>
  </si>
  <si>
    <t>esi</t>
  </si>
  <si>
    <t>ssi</t>
  </si>
  <si>
    <t>Fsi</t>
  </si>
  <si>
    <t>kN</t>
  </si>
  <si>
    <t>N</t>
  </si>
  <si>
    <t>ect</t>
  </si>
  <si>
    <t>Ncx</t>
  </si>
  <si>
    <t>Nsx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</si>
</sst>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000"/>
    <numFmt numFmtId="169" formatCode="0.000"/>
    <numFmt numFmtId="170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424242"/>
      </left>
      <right style="medium">
        <color rgb="FF424242"/>
      </right>
      <top style="medium">
        <color rgb="FF424242"/>
      </top>
      <bottom style="medium">
        <color rgb="FF42424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168" fontId="0" fillId="0" borderId="0" xfId="0" applyNumberFormat="1"/>
    <xf numFmtId="169" fontId="0" fillId="0" borderId="0" xfId="0" applyNumberFormat="1"/>
    <xf numFmtId="2" fontId="0" fillId="0" borderId="0" xfId="0" applyNumberFormat="1"/>
    <xf numFmtId="17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526042146994027E-2"/>
          <c:y val="2.9421601225893032E-2"/>
          <c:w val="0.8917634872473732"/>
          <c:h val="0.9411567975482139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Sheet1!$E$7</c:f>
              <c:strCache>
                <c:ptCount val="1"/>
                <c:pt idx="0">
                  <c:v>ystrips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Sheet1!$E$9:$E$48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Sheet1!$F$9:$F$48</c:f>
              <c:numCache>
                <c:formatCode>General</c:formatCode>
                <c:ptCount val="40"/>
                <c:pt idx="0">
                  <c:v>-243.8</c:v>
                </c:pt>
                <c:pt idx="1">
                  <c:v>-231.3</c:v>
                </c:pt>
                <c:pt idx="2">
                  <c:v>-218.8</c:v>
                </c:pt>
                <c:pt idx="3">
                  <c:v>-206.3</c:v>
                </c:pt>
                <c:pt idx="4">
                  <c:v>-193.8</c:v>
                </c:pt>
                <c:pt idx="5">
                  <c:v>-181.3</c:v>
                </c:pt>
                <c:pt idx="6">
                  <c:v>-168.8</c:v>
                </c:pt>
                <c:pt idx="7">
                  <c:v>-156.30000000000001</c:v>
                </c:pt>
                <c:pt idx="8">
                  <c:v>-143.80000000000001</c:v>
                </c:pt>
                <c:pt idx="9">
                  <c:v>-131.30000000000001</c:v>
                </c:pt>
                <c:pt idx="10">
                  <c:v>-118.8</c:v>
                </c:pt>
                <c:pt idx="11">
                  <c:v>-106.3</c:v>
                </c:pt>
                <c:pt idx="12">
                  <c:v>-93.8</c:v>
                </c:pt>
                <c:pt idx="13">
                  <c:v>-81.3</c:v>
                </c:pt>
                <c:pt idx="14">
                  <c:v>-68.8</c:v>
                </c:pt>
                <c:pt idx="15">
                  <c:v>-56.3</c:v>
                </c:pt>
                <c:pt idx="16">
                  <c:v>-43.8</c:v>
                </c:pt>
                <c:pt idx="17">
                  <c:v>-31.3</c:v>
                </c:pt>
                <c:pt idx="18">
                  <c:v>-18.8</c:v>
                </c:pt>
                <c:pt idx="19">
                  <c:v>-6.3</c:v>
                </c:pt>
                <c:pt idx="20">
                  <c:v>6.3</c:v>
                </c:pt>
                <c:pt idx="21">
                  <c:v>18.8</c:v>
                </c:pt>
                <c:pt idx="22">
                  <c:v>31.3</c:v>
                </c:pt>
                <c:pt idx="23">
                  <c:v>43.8</c:v>
                </c:pt>
                <c:pt idx="24">
                  <c:v>56.3</c:v>
                </c:pt>
                <c:pt idx="25">
                  <c:v>68.8</c:v>
                </c:pt>
                <c:pt idx="26">
                  <c:v>81.3</c:v>
                </c:pt>
                <c:pt idx="27">
                  <c:v>93.8</c:v>
                </c:pt>
                <c:pt idx="28">
                  <c:v>106.3</c:v>
                </c:pt>
                <c:pt idx="29">
                  <c:v>118.8</c:v>
                </c:pt>
                <c:pt idx="30">
                  <c:v>131.30000000000001</c:v>
                </c:pt>
                <c:pt idx="31">
                  <c:v>143.80000000000001</c:v>
                </c:pt>
                <c:pt idx="32">
                  <c:v>156.30000000000001</c:v>
                </c:pt>
                <c:pt idx="33">
                  <c:v>168.8</c:v>
                </c:pt>
                <c:pt idx="34">
                  <c:v>181.3</c:v>
                </c:pt>
                <c:pt idx="35">
                  <c:v>193.8</c:v>
                </c:pt>
                <c:pt idx="36">
                  <c:v>206.3</c:v>
                </c:pt>
                <c:pt idx="37">
                  <c:v>218.8</c:v>
                </c:pt>
                <c:pt idx="38">
                  <c:v>231.3</c:v>
                </c:pt>
                <c:pt idx="39">
                  <c:v>243.8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5D-46BE-8961-4C938E212EE6}"/>
            </c:ext>
          </c:extLst>
        </c:ser>
        <c:ser>
          <c:idx val="1"/>
          <c:order val="1"/>
          <c:tx>
            <c:strRef>
              <c:f>Sheet1!$L$7</c:f>
              <c:strCache>
                <c:ptCount val="1"/>
                <c:pt idx="0">
                  <c:v>rebars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Sheet1!$L$9:$L$14</c:f>
              <c:numCache>
                <c:formatCode>General</c:formatCode>
                <c:ptCount val="6"/>
                <c:pt idx="0">
                  <c:v>109</c:v>
                </c:pt>
                <c:pt idx="1">
                  <c:v>-109</c:v>
                </c:pt>
                <c:pt idx="2">
                  <c:v>109</c:v>
                </c:pt>
                <c:pt idx="3">
                  <c:v>36.299999999999997</c:v>
                </c:pt>
                <c:pt idx="4">
                  <c:v>-36.299999999999997</c:v>
                </c:pt>
                <c:pt idx="5">
                  <c:v>-109</c:v>
                </c:pt>
              </c:numCache>
            </c:numRef>
          </c:xVal>
          <c:yVal>
            <c:numRef>
              <c:f>Sheet1!$M$9:$M$14</c:f>
              <c:numCache>
                <c:formatCode>General</c:formatCode>
                <c:ptCount val="6"/>
                <c:pt idx="0">
                  <c:v>209</c:v>
                </c:pt>
                <c:pt idx="1">
                  <c:v>209</c:v>
                </c:pt>
                <c:pt idx="2">
                  <c:v>-209</c:v>
                </c:pt>
                <c:pt idx="3">
                  <c:v>-209</c:v>
                </c:pt>
                <c:pt idx="4">
                  <c:v>-209</c:v>
                </c:pt>
                <c:pt idx="5">
                  <c:v>-209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5D-46BE-8961-4C938E212EE6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  <c:pt idx="0">
                  <c:v>yn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Sheet1!$S$2:$S$3</c:f>
              <c:numCache>
                <c:formatCode>General</c:formatCode>
                <c:ptCount val="2"/>
                <c:pt idx="0">
                  <c:v>-109</c:v>
                </c:pt>
                <c:pt idx="1">
                  <c:v>109</c:v>
                </c:pt>
              </c:numCache>
            </c:numRef>
          </c:xVal>
          <c:yVal>
            <c:numRef>
              <c:f>Sheet1!$T$2:$T$3</c:f>
              <c:numCache>
                <c:formatCode>0.0</c:formatCode>
                <c:ptCount val="2"/>
                <c:pt idx="0">
                  <c:v>-250</c:v>
                </c:pt>
                <c:pt idx="1">
                  <c:v>-250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5D-46BE-8961-4C938E212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112032"/>
        <c:axId val="573116192"/>
      </c:scatterChart>
      <c:valAx>
        <c:axId val="57311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3116192"/>
        <c:crosses val="autoZero"/>
        <c:crossBetween val="midCat"/>
      </c:valAx>
      <c:valAx>
        <c:axId val="57311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3112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223837</xdr:colOff>
      <xdr:row>6</xdr:row>
      <xdr:rowOff>28575</xdr:rowOff>
    </xdr:from>
    <xdr:to>
      <xdr:col>24</xdr:col>
      <xdr:colOff>304800</xdr:colOff>
      <xdr:row>29</xdr:row>
      <xdr:rowOff>176212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EB181F3-13EB-4F12-B75A-21F8A97D4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8"/>
  <sheetViews>
    <sheetView tabSelected="1" workbookViewId="0">
      <selection activeCell="R4" sqref="R4"/>
    </sheetView>
  </sheetViews>
  <sheetFormatPr defaultRowHeight="15" x14ac:dyDescent="0.25"/>
  <cols>
    <col min="6" max="6" width="9.5703125" bestFit="1" customWidth="1"/>
    <col min="13" max="13" width="10.28515625" bestFit="1" customWidth="1"/>
  </cols>
  <sheetData>
    <row r="1" spans="1:20" x14ac:dyDescent="0.25">
      <c r="E1" t="s">
        <v>21</v>
      </c>
      <c r="F1" s="5">
        <v>-3.5</v>
      </c>
      <c r="G1" t="s">
        <v>13</v>
      </c>
      <c r="L1" t="b">
        <f>M1&lt;M2</f>
        <v>0</v>
      </c>
      <c r="M1" s="7">
        <v>0</v>
      </c>
      <c r="N1" t="s">
        <v>29</v>
      </c>
    </row>
    <row r="2" spans="1:20" x14ac:dyDescent="0.25">
      <c r="A2" t="s">
        <v>4</v>
      </c>
      <c r="B2" s="5">
        <v>3.5</v>
      </c>
      <c r="C2" t="s">
        <v>13</v>
      </c>
      <c r="E2" t="s">
        <v>31</v>
      </c>
      <c r="F2" s="5">
        <f>ec+1/1000</f>
        <v>-3.4990000000000001</v>
      </c>
      <c r="G2" t="s">
        <v>13</v>
      </c>
      <c r="M2" s="7">
        <f>J7+Q7</f>
        <v>-3542.7</v>
      </c>
      <c r="N2" t="s">
        <v>29</v>
      </c>
      <c r="S2">
        <f>MIN(L9:L14)</f>
        <v>-109</v>
      </c>
      <c r="T2" s="7">
        <f>IF(yn&gt;hy,-Yg,Yg-yn)</f>
        <v>-250</v>
      </c>
    </row>
    <row r="3" spans="1:20" x14ac:dyDescent="0.25">
      <c r="A3" t="s">
        <v>20</v>
      </c>
      <c r="B3" s="5">
        <v>2</v>
      </c>
      <c r="C3" t="s">
        <v>13</v>
      </c>
      <c r="E3" t="s">
        <v>15</v>
      </c>
      <c r="F3" s="7">
        <f>-hy*ec/(-ec+ect)</f>
        <v>1750000.0000001928</v>
      </c>
      <c r="G3" t="s">
        <v>12</v>
      </c>
      <c r="M3" s="7">
        <f>M2*1000</f>
        <v>-3542700</v>
      </c>
      <c r="N3" t="s">
        <v>30</v>
      </c>
      <c r="S3">
        <f>MAX(L9:L14)</f>
        <v>109</v>
      </c>
      <c r="T3" s="7">
        <f>IF(yn&gt;hy,-Yg,Yg-yn)</f>
        <v>-250</v>
      </c>
    </row>
    <row r="4" spans="1:20" x14ac:dyDescent="0.25">
      <c r="A4" t="s">
        <v>5</v>
      </c>
      <c r="B4">
        <v>20</v>
      </c>
      <c r="C4" t="s">
        <v>17</v>
      </c>
      <c r="E4" t="s">
        <v>9</v>
      </c>
      <c r="F4" s="4">
        <f>-ec/yn</f>
        <v>1.9999999999997797E-6</v>
      </c>
      <c r="G4" t="s">
        <v>14</v>
      </c>
      <c r="M4" s="7"/>
    </row>
    <row r="5" spans="1:20" x14ac:dyDescent="0.25">
      <c r="E5" t="s">
        <v>10</v>
      </c>
      <c r="F5" s="5">
        <f>(Yg-yn)*cx</f>
        <v>-3.4995000000000003</v>
      </c>
      <c r="G5" t="s">
        <v>13</v>
      </c>
      <c r="M5" s="7"/>
    </row>
    <row r="6" spans="1:20" ht="15.75" thickBot="1" x14ac:dyDescent="0.3"/>
    <row r="7" spans="1:20" ht="15.75" thickBot="1" x14ac:dyDescent="0.3">
      <c r="E7" s="1" t="s">
        <v>0</v>
      </c>
      <c r="F7" s="1">
        <v>40</v>
      </c>
      <c r="G7" s="1">
        <f>SUM(G9:G48)</f>
        <v>150000</v>
      </c>
      <c r="J7" s="7">
        <f>SUM(J9:J48)</f>
        <v>-3000</v>
      </c>
      <c r="L7" s="1" t="s">
        <v>22</v>
      </c>
      <c r="M7" s="1">
        <v>6</v>
      </c>
      <c r="N7" s="1">
        <f>SUM(N9:N48)</f>
        <v>1206</v>
      </c>
      <c r="Q7" s="7">
        <f>SUM(Q9:Q48)</f>
        <v>-542.70000000000005</v>
      </c>
    </row>
    <row r="8" spans="1:20" ht="15.75" thickBot="1" x14ac:dyDescent="0.3">
      <c r="A8" t="s">
        <v>6</v>
      </c>
      <c r="B8">
        <v>450</v>
      </c>
      <c r="C8" t="s">
        <v>18</v>
      </c>
      <c r="E8" s="2" t="s">
        <v>1</v>
      </c>
      <c r="F8" s="2" t="s">
        <v>2</v>
      </c>
      <c r="G8" s="2" t="s">
        <v>3</v>
      </c>
      <c r="H8" s="3" t="s">
        <v>23</v>
      </c>
      <c r="I8" s="3" t="s">
        <v>24</v>
      </c>
      <c r="J8" s="3" t="s">
        <v>25</v>
      </c>
      <c r="L8" s="2" t="s">
        <v>1</v>
      </c>
      <c r="M8" s="2" t="s">
        <v>2</v>
      </c>
      <c r="N8" s="2" t="s">
        <v>3</v>
      </c>
      <c r="O8" s="3" t="s">
        <v>26</v>
      </c>
      <c r="P8" s="3" t="s">
        <v>27</v>
      </c>
      <c r="Q8" s="3" t="s">
        <v>28</v>
      </c>
    </row>
    <row r="9" spans="1:20" ht="15.75" thickBot="1" x14ac:dyDescent="0.3">
      <c r="A9" t="s">
        <v>7</v>
      </c>
      <c r="B9">
        <v>200</v>
      </c>
      <c r="C9" t="s">
        <v>19</v>
      </c>
      <c r="E9" s="2">
        <v>0</v>
      </c>
      <c r="F9" s="2">
        <v>-243.8</v>
      </c>
      <c r="G9" s="2">
        <v>3750</v>
      </c>
      <c r="H9" s="5">
        <f>ex-cx*F9</f>
        <v>-3.4990124000000002</v>
      </c>
      <c r="I9" s="6">
        <f>IF(H9&gt;0,0,IF(H9&gt;-ec0,-fc*(-2*H9/ec0-(H9/ec0)^2),-fc))</f>
        <v>-20</v>
      </c>
      <c r="J9" s="7">
        <f>I9*G9/1000</f>
        <v>-75</v>
      </c>
      <c r="L9" s="2">
        <v>109</v>
      </c>
      <c r="M9" s="2">
        <v>209</v>
      </c>
      <c r="N9" s="2">
        <v>201</v>
      </c>
      <c r="O9" s="5">
        <f>ex-cx*M9</f>
        <v>-3.4999180000000001</v>
      </c>
      <c r="P9" s="6">
        <f>SIGN(O9)*MIN(Es*ABS(O9),fy)</f>
        <v>-450</v>
      </c>
      <c r="Q9" s="7">
        <f>P9*N9/1000</f>
        <v>-90.45</v>
      </c>
    </row>
    <row r="10" spans="1:20" ht="15.75" thickBot="1" x14ac:dyDescent="0.3">
      <c r="A10" t="s">
        <v>8</v>
      </c>
      <c r="B10" s="5">
        <v>30</v>
      </c>
      <c r="C10" t="s">
        <v>13</v>
      </c>
      <c r="E10" s="2">
        <v>0</v>
      </c>
      <c r="F10" s="2">
        <v>-231.3</v>
      </c>
      <c r="G10" s="2">
        <v>3750</v>
      </c>
      <c r="H10" s="5">
        <f>ex-cx*F10</f>
        <v>-3.4990374000000002</v>
      </c>
      <c r="I10" s="6">
        <f>IF(H10&gt;0,0,IF(H10&gt;-ec0,-fc*(-2*H10/ec0-(H10/ec0)^2),-fc))</f>
        <v>-20</v>
      </c>
      <c r="J10" s="7">
        <f t="shared" ref="J10:J48" si="0">I10*G10/1000</f>
        <v>-75</v>
      </c>
      <c r="L10" s="2">
        <v>-109</v>
      </c>
      <c r="M10" s="2">
        <v>209</v>
      </c>
      <c r="N10" s="2">
        <v>201</v>
      </c>
      <c r="O10" s="5">
        <f>ex-cx*M10</f>
        <v>-3.4999180000000001</v>
      </c>
      <c r="P10" s="6">
        <f>SIGN(O10)*MIN(Es*ABS(O10),fy)</f>
        <v>-450</v>
      </c>
      <c r="Q10" s="7">
        <f t="shared" ref="Q10:Q14" si="1">P10*N10/1000</f>
        <v>-90.45</v>
      </c>
    </row>
    <row r="11" spans="1:20" ht="15.75" thickBot="1" x14ac:dyDescent="0.3">
      <c r="B11" s="5"/>
      <c r="E11" s="2">
        <v>0</v>
      </c>
      <c r="F11" s="2">
        <v>-218.8</v>
      </c>
      <c r="G11" s="2">
        <v>3750</v>
      </c>
      <c r="H11" s="5">
        <f>ex-cx*F11</f>
        <v>-3.4990624000000001</v>
      </c>
      <c r="I11" s="6">
        <f>IF(H11&gt;0,0,IF(H11&gt;-ec0,-fc*(-2*H11/ec0-(H11/ec0)^2),-fc))</f>
        <v>-20</v>
      </c>
      <c r="J11" s="7">
        <f t="shared" si="0"/>
        <v>-75</v>
      </c>
      <c r="L11" s="2">
        <v>109</v>
      </c>
      <c r="M11" s="2">
        <v>-209</v>
      </c>
      <c r="N11" s="2">
        <v>201</v>
      </c>
      <c r="O11" s="5">
        <f>ex-cx*M11</f>
        <v>-3.4990820000000005</v>
      </c>
      <c r="P11" s="6">
        <f>SIGN(O11)*MIN(Es*ABS(O11),fy)</f>
        <v>-450</v>
      </c>
      <c r="Q11" s="7">
        <f t="shared" si="1"/>
        <v>-90.45</v>
      </c>
    </row>
    <row r="12" spans="1:20" ht="15.75" thickBot="1" x14ac:dyDescent="0.3">
      <c r="A12" t="s">
        <v>11</v>
      </c>
      <c r="B12">
        <v>500</v>
      </c>
      <c r="C12" t="s">
        <v>12</v>
      </c>
      <c r="E12" s="2">
        <v>0</v>
      </c>
      <c r="F12" s="2">
        <v>-206.3</v>
      </c>
      <c r="G12" s="2">
        <v>3750</v>
      </c>
      <c r="H12" s="5">
        <f>ex-cx*F12</f>
        <v>-3.4990874000000005</v>
      </c>
      <c r="I12" s="6">
        <f>IF(H12&gt;0,0,IF(H12&gt;-ec0,-fc*(-2*H12/ec0-(H12/ec0)^2),-fc))</f>
        <v>-20</v>
      </c>
      <c r="J12" s="7">
        <f t="shared" si="0"/>
        <v>-75</v>
      </c>
      <c r="L12" s="2">
        <v>36.299999999999997</v>
      </c>
      <c r="M12" s="2">
        <v>-209</v>
      </c>
      <c r="N12" s="2">
        <v>201</v>
      </c>
      <c r="O12" s="5">
        <f>ex-cx*M12</f>
        <v>-3.4990820000000005</v>
      </c>
      <c r="P12" s="6">
        <f>SIGN(O12)*MIN(Es*ABS(O12),fy)</f>
        <v>-450</v>
      </c>
      <c r="Q12" s="7">
        <f t="shared" si="1"/>
        <v>-90.45</v>
      </c>
    </row>
    <row r="13" spans="1:20" ht="15.75" thickBot="1" x14ac:dyDescent="0.3">
      <c r="A13" t="s">
        <v>16</v>
      </c>
      <c r="B13">
        <f>hy/2</f>
        <v>250</v>
      </c>
      <c r="C13" t="s">
        <v>12</v>
      </c>
      <c r="E13" s="2">
        <v>0</v>
      </c>
      <c r="F13" s="2">
        <v>-193.8</v>
      </c>
      <c r="G13" s="2">
        <v>3750</v>
      </c>
      <c r="H13" s="5">
        <f>ex-cx*F13</f>
        <v>-3.4991124000000005</v>
      </c>
      <c r="I13" s="6">
        <f>IF(H13&gt;0,0,IF(H13&gt;-ec0,-fc*(-2*H13/ec0-(H13/ec0)^2),-fc))</f>
        <v>-20</v>
      </c>
      <c r="J13" s="7">
        <f t="shared" si="0"/>
        <v>-75</v>
      </c>
      <c r="L13" s="2">
        <v>-36.299999999999997</v>
      </c>
      <c r="M13" s="2">
        <v>-209</v>
      </c>
      <c r="N13" s="2">
        <v>201</v>
      </c>
      <c r="O13" s="5">
        <f>ex-cx*M13</f>
        <v>-3.4990820000000005</v>
      </c>
      <c r="P13" s="6">
        <f>SIGN(O13)*MIN(Es*ABS(O13),fy)</f>
        <v>-450</v>
      </c>
      <c r="Q13" s="7">
        <f t="shared" si="1"/>
        <v>-90.45</v>
      </c>
    </row>
    <row r="14" spans="1:20" ht="15.75" thickBot="1" x14ac:dyDescent="0.3">
      <c r="E14" s="2">
        <v>0</v>
      </c>
      <c r="F14" s="2">
        <v>-181.3</v>
      </c>
      <c r="G14" s="2">
        <v>3750</v>
      </c>
      <c r="H14" s="5">
        <f>ex-cx*F14</f>
        <v>-3.4991374000000004</v>
      </c>
      <c r="I14" s="6">
        <f>IF(H14&gt;0,0,IF(H14&gt;-ec0,-fc*(-2*H14/ec0-(H14/ec0)^2),-fc))</f>
        <v>-20</v>
      </c>
      <c r="J14" s="7">
        <f t="shared" si="0"/>
        <v>-75</v>
      </c>
      <c r="L14" s="2">
        <v>-109</v>
      </c>
      <c r="M14" s="2">
        <v>-209</v>
      </c>
      <c r="N14" s="2">
        <v>201</v>
      </c>
      <c r="O14" s="5">
        <f>ex-cx*M14</f>
        <v>-3.4990820000000005</v>
      </c>
      <c r="P14" s="6">
        <f>SIGN(O14)*MIN(Es*ABS(O14),fy)</f>
        <v>-450</v>
      </c>
      <c r="Q14" s="7">
        <f t="shared" si="1"/>
        <v>-90.45</v>
      </c>
    </row>
    <row r="15" spans="1:20" ht="15.75" thickBot="1" x14ac:dyDescent="0.3">
      <c r="E15" s="2">
        <v>0</v>
      </c>
      <c r="F15" s="2">
        <v>-168.8</v>
      </c>
      <c r="G15" s="2">
        <v>3750</v>
      </c>
      <c r="H15" s="5">
        <f>ex-cx*F15</f>
        <v>-3.4991624000000003</v>
      </c>
      <c r="I15" s="6">
        <f>IF(H15&gt;0,0,IF(H15&gt;-ec0,-fc*(-2*H15/ec0-(H15/ec0)^2),-fc))</f>
        <v>-20</v>
      </c>
      <c r="J15" s="7">
        <f t="shared" si="0"/>
        <v>-75</v>
      </c>
    </row>
    <row r="16" spans="1:20" ht="15.75" thickBot="1" x14ac:dyDescent="0.3">
      <c r="E16" s="2">
        <v>0</v>
      </c>
      <c r="F16" s="2">
        <v>-156.30000000000001</v>
      </c>
      <c r="G16" s="2">
        <v>3750</v>
      </c>
      <c r="H16" s="5">
        <f>ex-cx*F16</f>
        <v>-3.4991874000000003</v>
      </c>
      <c r="I16" s="6">
        <f>IF(H16&gt;0,0,IF(H16&gt;-ec0,-fc*(-2*H16/ec0-(H16/ec0)^2),-fc))</f>
        <v>-20</v>
      </c>
      <c r="J16" s="7">
        <f t="shared" si="0"/>
        <v>-75</v>
      </c>
    </row>
    <row r="17" spans="5:13" ht="15.75" thickBot="1" x14ac:dyDescent="0.3">
      <c r="E17" s="2">
        <v>0</v>
      </c>
      <c r="F17" s="2">
        <v>-143.80000000000001</v>
      </c>
      <c r="G17" s="2">
        <v>3750</v>
      </c>
      <c r="H17" s="5">
        <f>ex-cx*F17</f>
        <v>-3.4992124000000002</v>
      </c>
      <c r="I17" s="6">
        <f>IF(H17&gt;0,0,IF(H17&gt;-ec0,-fc*(-2*H17/ec0-(H17/ec0)^2),-fc))</f>
        <v>-20</v>
      </c>
      <c r="J17" s="7">
        <f t="shared" si="0"/>
        <v>-75</v>
      </c>
    </row>
    <row r="18" spans="5:13" ht="15.75" thickBot="1" x14ac:dyDescent="0.3">
      <c r="E18" s="2">
        <v>0</v>
      </c>
      <c r="F18" s="2">
        <v>-131.30000000000001</v>
      </c>
      <c r="G18" s="2">
        <v>3750</v>
      </c>
      <c r="H18" s="5">
        <f>ex-cx*F18</f>
        <v>-3.4992374000000002</v>
      </c>
      <c r="I18" s="6">
        <f>IF(H18&gt;0,0,IF(H18&gt;-ec0,-fc*(-2*H18/ec0-(H18/ec0)^2),-fc))</f>
        <v>-20</v>
      </c>
      <c r="J18" s="7">
        <f t="shared" si="0"/>
        <v>-75</v>
      </c>
    </row>
    <row r="19" spans="5:13" ht="15.75" thickBot="1" x14ac:dyDescent="0.3">
      <c r="E19" s="2">
        <v>0</v>
      </c>
      <c r="F19" s="2">
        <v>-118.8</v>
      </c>
      <c r="G19" s="2">
        <v>3750</v>
      </c>
      <c r="H19" s="5">
        <f>ex-cx*F19</f>
        <v>-3.4992624000000001</v>
      </c>
      <c r="I19" s="6">
        <f>IF(H19&gt;0,0,IF(H19&gt;-ec0,-fc*(-2*H19/ec0-(H19/ec0)^2),-fc))</f>
        <v>-20</v>
      </c>
      <c r="J19" s="7">
        <f t="shared" si="0"/>
        <v>-75</v>
      </c>
    </row>
    <row r="20" spans="5:13" ht="15.75" thickBot="1" x14ac:dyDescent="0.3">
      <c r="E20" s="2">
        <v>0</v>
      </c>
      <c r="F20" s="2">
        <v>-106.3</v>
      </c>
      <c r="G20" s="2">
        <v>3750</v>
      </c>
      <c r="H20" s="5">
        <f>ex-cx*F20</f>
        <v>-3.4992874000000005</v>
      </c>
      <c r="I20" s="6">
        <f>IF(H20&gt;0,0,IF(H20&gt;-ec0,-fc*(-2*H20/ec0-(H20/ec0)^2),-fc))</f>
        <v>-20</v>
      </c>
      <c r="J20" s="7">
        <f t="shared" si="0"/>
        <v>-75</v>
      </c>
    </row>
    <row r="21" spans="5:13" ht="15.75" thickBot="1" x14ac:dyDescent="0.3">
      <c r="E21" s="2">
        <v>0</v>
      </c>
      <c r="F21" s="2">
        <v>-93.8</v>
      </c>
      <c r="G21" s="2">
        <v>3750</v>
      </c>
      <c r="H21" s="5">
        <f>ex-cx*F21</f>
        <v>-3.4993124000000004</v>
      </c>
      <c r="I21" s="6">
        <f>IF(H21&gt;0,0,IF(H21&gt;-ec0,-fc*(-2*H21/ec0-(H21/ec0)^2),-fc))</f>
        <v>-20</v>
      </c>
      <c r="J21" s="7">
        <f t="shared" si="0"/>
        <v>-75</v>
      </c>
    </row>
    <row r="22" spans="5:13" ht="15.75" thickBot="1" x14ac:dyDescent="0.3">
      <c r="E22" s="2">
        <v>0</v>
      </c>
      <c r="F22" s="2">
        <v>-81.3</v>
      </c>
      <c r="G22" s="2">
        <v>3750</v>
      </c>
      <c r="H22" s="5">
        <f>ex-cx*F22</f>
        <v>-3.4993374000000004</v>
      </c>
      <c r="I22" s="6">
        <f>IF(H22&gt;0,0,IF(H22&gt;-ec0,-fc*(-2*H22/ec0-(H22/ec0)^2),-fc))</f>
        <v>-20</v>
      </c>
      <c r="J22" s="7">
        <f t="shared" si="0"/>
        <v>-75</v>
      </c>
      <c r="L22" t="s">
        <v>32</v>
      </c>
      <c r="M22" s="7">
        <f>-254980.95703125/1000</f>
        <v>-254.98095703125</v>
      </c>
    </row>
    <row r="23" spans="5:13" ht="15.75" thickBot="1" x14ac:dyDescent="0.3">
      <c r="E23" s="2">
        <v>0</v>
      </c>
      <c r="F23" s="2">
        <v>-68.8</v>
      </c>
      <c r="G23" s="2">
        <v>3750</v>
      </c>
      <c r="H23" s="5">
        <f>ex-cx*F23</f>
        <v>-3.4993624000000003</v>
      </c>
      <c r="I23" s="6">
        <f>IF(H23&gt;0,0,IF(H23&gt;-ec0,-fc*(-2*H23/ec0-(H23/ec0)^2),-fc))</f>
        <v>-20</v>
      </c>
      <c r="J23" s="7">
        <f t="shared" si="0"/>
        <v>-75</v>
      </c>
      <c r="L23" t="s">
        <v>33</v>
      </c>
      <c r="M23" s="7">
        <f>298224.770788777/1000</f>
        <v>298.22477078877699</v>
      </c>
    </row>
    <row r="24" spans="5:13" ht="15.75" thickBot="1" x14ac:dyDescent="0.3">
      <c r="E24" s="2">
        <v>0</v>
      </c>
      <c r="F24" s="2">
        <v>-56.3</v>
      </c>
      <c r="G24" s="2">
        <v>3750</v>
      </c>
      <c r="H24" s="5">
        <f>ex-cx*F24</f>
        <v>-3.4993874000000003</v>
      </c>
      <c r="I24" s="6">
        <f>IF(H24&gt;0,0,IF(H24&gt;-ec0,-fc*(-2*H24/ec0-(H24/ec0)^2),-fc))</f>
        <v>-20</v>
      </c>
      <c r="J24" s="7">
        <f t="shared" si="0"/>
        <v>-75</v>
      </c>
      <c r="M24" s="7">
        <f>-(M22+M23)</f>
        <v>-43.243813757526993</v>
      </c>
    </row>
    <row r="25" spans="5:13" ht="15.75" thickBot="1" x14ac:dyDescent="0.3">
      <c r="E25" s="2">
        <v>0</v>
      </c>
      <c r="F25" s="2">
        <v>-43.8</v>
      </c>
      <c r="G25" s="2">
        <v>3750</v>
      </c>
      <c r="H25" s="5">
        <f>ex-cx*F25</f>
        <v>-3.4994124000000002</v>
      </c>
      <c r="I25" s="6">
        <f>IF(H25&gt;0,0,IF(H25&gt;-ec0,-fc*(-2*H25/ec0-(H25/ec0)^2),-fc))</f>
        <v>-20</v>
      </c>
      <c r="J25" s="7">
        <f t="shared" si="0"/>
        <v>-75</v>
      </c>
    </row>
    <row r="26" spans="5:13" ht="15.75" thickBot="1" x14ac:dyDescent="0.3">
      <c r="E26" s="2">
        <v>0</v>
      </c>
      <c r="F26" s="2">
        <v>-31.3</v>
      </c>
      <c r="G26" s="2">
        <v>3750</v>
      </c>
      <c r="H26" s="5">
        <f>ex-cx*F26</f>
        <v>-3.4994374000000001</v>
      </c>
      <c r="I26" s="6">
        <f>IF(H26&gt;0,0,IF(H26&gt;-ec0,-fc*(-2*H26/ec0-(H26/ec0)^2),-fc))</f>
        <v>-20</v>
      </c>
      <c r="J26" s="7">
        <f t="shared" si="0"/>
        <v>-75</v>
      </c>
    </row>
    <row r="27" spans="5:13" ht="15.75" thickBot="1" x14ac:dyDescent="0.3">
      <c r="E27" s="2">
        <v>0</v>
      </c>
      <c r="F27" s="2">
        <v>-18.8</v>
      </c>
      <c r="G27" s="2">
        <v>3750</v>
      </c>
      <c r="H27" s="5">
        <f>ex-cx*F27</f>
        <v>-3.4994624000000001</v>
      </c>
      <c r="I27" s="6">
        <f>IF(H27&gt;0,0,IF(H27&gt;-ec0,-fc*(-2*H27/ec0-(H27/ec0)^2),-fc))</f>
        <v>-20</v>
      </c>
      <c r="J27" s="7">
        <f t="shared" si="0"/>
        <v>-75</v>
      </c>
    </row>
    <row r="28" spans="5:13" ht="15.75" thickBot="1" x14ac:dyDescent="0.3">
      <c r="E28" s="2">
        <v>0</v>
      </c>
      <c r="F28" s="2">
        <v>-6.3</v>
      </c>
      <c r="G28" s="2">
        <v>3750</v>
      </c>
      <c r="H28" s="5">
        <f>ex-cx*F28</f>
        <v>-3.4994874000000005</v>
      </c>
      <c r="I28" s="6">
        <f>IF(H28&gt;0,0,IF(H28&gt;-ec0,-fc*(-2*H28/ec0-(H28/ec0)^2),-fc))</f>
        <v>-20</v>
      </c>
      <c r="J28" s="7">
        <f t="shared" si="0"/>
        <v>-75</v>
      </c>
    </row>
    <row r="29" spans="5:13" ht="15.75" thickBot="1" x14ac:dyDescent="0.3">
      <c r="E29" s="2">
        <v>0</v>
      </c>
      <c r="F29" s="2">
        <v>6.3</v>
      </c>
      <c r="G29" s="2">
        <v>3750</v>
      </c>
      <c r="H29" s="5">
        <f>ex-cx*F29</f>
        <v>-3.4995126000000001</v>
      </c>
      <c r="I29" s="6">
        <f>IF(H29&gt;0,0,IF(H29&gt;-ec0,-fc*(-2*H29/ec0-(H29/ec0)^2),-fc))</f>
        <v>-20</v>
      </c>
      <c r="J29" s="7">
        <f t="shared" si="0"/>
        <v>-75</v>
      </c>
    </row>
    <row r="30" spans="5:13" ht="15.75" thickBot="1" x14ac:dyDescent="0.3">
      <c r="E30" s="2">
        <v>0</v>
      </c>
      <c r="F30" s="2">
        <v>18.8</v>
      </c>
      <c r="G30" s="2">
        <v>3750</v>
      </c>
      <c r="H30" s="5">
        <f>ex-cx*F30</f>
        <v>-3.4995376000000005</v>
      </c>
      <c r="I30" s="6">
        <f>IF(H30&gt;0,0,IF(H30&gt;-ec0,-fc*(-2*H30/ec0-(H30/ec0)^2),-fc))</f>
        <v>-20</v>
      </c>
      <c r="J30" s="7">
        <f t="shared" si="0"/>
        <v>-75</v>
      </c>
    </row>
    <row r="31" spans="5:13" ht="15.75" thickBot="1" x14ac:dyDescent="0.3">
      <c r="E31" s="2">
        <v>0</v>
      </c>
      <c r="F31" s="2">
        <v>31.3</v>
      </c>
      <c r="G31" s="2">
        <v>3750</v>
      </c>
      <c r="H31" s="5">
        <f>ex-cx*F31</f>
        <v>-3.4995626000000004</v>
      </c>
      <c r="I31" s="6">
        <f>IF(H31&gt;0,0,IF(H31&gt;-ec0,-fc*(-2*H31/ec0-(H31/ec0)^2),-fc))</f>
        <v>-20</v>
      </c>
      <c r="J31" s="7">
        <f t="shared" si="0"/>
        <v>-75</v>
      </c>
    </row>
    <row r="32" spans="5:13" ht="15.75" thickBot="1" x14ac:dyDescent="0.3">
      <c r="E32" s="2">
        <v>0</v>
      </c>
      <c r="F32" s="2">
        <v>43.8</v>
      </c>
      <c r="G32" s="2">
        <v>3750</v>
      </c>
      <c r="H32" s="5">
        <f>ex-cx*F32</f>
        <v>-3.4995876000000004</v>
      </c>
      <c r="I32" s="6">
        <f>IF(H32&gt;0,0,IF(H32&gt;-ec0,-fc*(-2*H32/ec0-(H32/ec0)^2),-fc))</f>
        <v>-20</v>
      </c>
      <c r="J32" s="7">
        <f t="shared" si="0"/>
        <v>-75</v>
      </c>
    </row>
    <row r="33" spans="5:10" ht="15.75" thickBot="1" x14ac:dyDescent="0.3">
      <c r="E33" s="2">
        <v>0</v>
      </c>
      <c r="F33" s="2">
        <v>56.3</v>
      </c>
      <c r="G33" s="2">
        <v>3750</v>
      </c>
      <c r="H33" s="5">
        <f>ex-cx*F33</f>
        <v>-3.4996126000000003</v>
      </c>
      <c r="I33" s="6">
        <f>IF(H33&gt;0,0,IF(H33&gt;-ec0,-fc*(-2*H33/ec0-(H33/ec0)^2),-fc))</f>
        <v>-20</v>
      </c>
      <c r="J33" s="7">
        <f t="shared" si="0"/>
        <v>-75</v>
      </c>
    </row>
    <row r="34" spans="5:10" ht="15.75" thickBot="1" x14ac:dyDescent="0.3">
      <c r="E34" s="2">
        <v>0</v>
      </c>
      <c r="F34" s="2">
        <v>68.8</v>
      </c>
      <c r="G34" s="2">
        <v>3750</v>
      </c>
      <c r="H34" s="5">
        <f>ex-cx*F34</f>
        <v>-3.4996376000000002</v>
      </c>
      <c r="I34" s="6">
        <f>IF(H34&gt;0,0,IF(H34&gt;-ec0,-fc*(-2*H34/ec0-(H34/ec0)^2),-fc))</f>
        <v>-20</v>
      </c>
      <c r="J34" s="7">
        <f t="shared" si="0"/>
        <v>-75</v>
      </c>
    </row>
    <row r="35" spans="5:10" ht="15.75" thickBot="1" x14ac:dyDescent="0.3">
      <c r="E35" s="2">
        <v>0</v>
      </c>
      <c r="F35" s="2">
        <v>81.3</v>
      </c>
      <c r="G35" s="2">
        <v>3750</v>
      </c>
      <c r="H35" s="5">
        <f>ex-cx*F35</f>
        <v>-3.4996626000000002</v>
      </c>
      <c r="I35" s="6">
        <f>IF(H35&gt;0,0,IF(H35&gt;-ec0,-fc*(-2*H35/ec0-(H35/ec0)^2),-fc))</f>
        <v>-20</v>
      </c>
      <c r="J35" s="7">
        <f t="shared" si="0"/>
        <v>-75</v>
      </c>
    </row>
    <row r="36" spans="5:10" ht="15.75" thickBot="1" x14ac:dyDescent="0.3">
      <c r="E36" s="2">
        <v>0</v>
      </c>
      <c r="F36" s="2">
        <v>93.8</v>
      </c>
      <c r="G36" s="2">
        <v>3750</v>
      </c>
      <c r="H36" s="5">
        <f>ex-cx*F36</f>
        <v>-3.4996876000000001</v>
      </c>
      <c r="I36" s="6">
        <f>IF(H36&gt;0,0,IF(H36&gt;-ec0,-fc*(-2*H36/ec0-(H36/ec0)^2),-fc))</f>
        <v>-20</v>
      </c>
      <c r="J36" s="7">
        <f t="shared" si="0"/>
        <v>-75</v>
      </c>
    </row>
    <row r="37" spans="5:10" ht="15.75" thickBot="1" x14ac:dyDescent="0.3">
      <c r="E37" s="2">
        <v>0</v>
      </c>
      <c r="F37" s="2">
        <v>106.3</v>
      </c>
      <c r="G37" s="2">
        <v>3750</v>
      </c>
      <c r="H37" s="5">
        <f>ex-cx*F37</f>
        <v>-3.4997126000000001</v>
      </c>
      <c r="I37" s="6">
        <f>IF(H37&gt;0,0,IF(H37&gt;-ec0,-fc*(-2*H37/ec0-(H37/ec0)^2),-fc))</f>
        <v>-20</v>
      </c>
      <c r="J37" s="7">
        <f t="shared" si="0"/>
        <v>-75</v>
      </c>
    </row>
    <row r="38" spans="5:10" ht="15.75" thickBot="1" x14ac:dyDescent="0.3">
      <c r="E38" s="2">
        <v>0</v>
      </c>
      <c r="F38" s="2">
        <v>118.8</v>
      </c>
      <c r="G38" s="2">
        <v>3750</v>
      </c>
      <c r="H38" s="5">
        <f>ex-cx*F38</f>
        <v>-3.4997376000000004</v>
      </c>
      <c r="I38" s="6">
        <f>IF(H38&gt;0,0,IF(H38&gt;-ec0,-fc*(-2*H38/ec0-(H38/ec0)^2),-fc))</f>
        <v>-20</v>
      </c>
      <c r="J38" s="7">
        <f t="shared" si="0"/>
        <v>-75</v>
      </c>
    </row>
    <row r="39" spans="5:10" ht="15.75" thickBot="1" x14ac:dyDescent="0.3">
      <c r="E39" s="2">
        <v>0</v>
      </c>
      <c r="F39" s="2">
        <v>131.30000000000001</v>
      </c>
      <c r="G39" s="2">
        <v>3750</v>
      </c>
      <c r="H39" s="5">
        <f>ex-cx*F39</f>
        <v>-3.4997626000000004</v>
      </c>
      <c r="I39" s="6">
        <f>IF(H39&gt;0,0,IF(H39&gt;-ec0,-fc*(-2*H39/ec0-(H39/ec0)^2),-fc))</f>
        <v>-20</v>
      </c>
      <c r="J39" s="7">
        <f t="shared" si="0"/>
        <v>-75</v>
      </c>
    </row>
    <row r="40" spans="5:10" ht="15.75" thickBot="1" x14ac:dyDescent="0.3">
      <c r="E40" s="2">
        <v>0</v>
      </c>
      <c r="F40" s="2">
        <v>143.80000000000001</v>
      </c>
      <c r="G40" s="2">
        <v>3750</v>
      </c>
      <c r="H40" s="5">
        <f>ex-cx*F40</f>
        <v>-3.4997876000000003</v>
      </c>
      <c r="I40" s="6">
        <f>IF(H40&gt;0,0,IF(H40&gt;-ec0,-fc*(-2*H40/ec0-(H40/ec0)^2),-fc))</f>
        <v>-20</v>
      </c>
      <c r="J40" s="7">
        <f t="shared" si="0"/>
        <v>-75</v>
      </c>
    </row>
    <row r="41" spans="5:10" ht="15.75" thickBot="1" x14ac:dyDescent="0.3">
      <c r="E41" s="2">
        <v>0</v>
      </c>
      <c r="F41" s="2">
        <v>156.30000000000001</v>
      </c>
      <c r="G41" s="2">
        <v>3750</v>
      </c>
      <c r="H41" s="5">
        <f>ex-cx*F41</f>
        <v>-3.4998126000000003</v>
      </c>
      <c r="I41" s="6">
        <f>IF(H41&gt;0,0,IF(H41&gt;-ec0,-fc*(-2*H41/ec0-(H41/ec0)^2),-fc))</f>
        <v>-20</v>
      </c>
      <c r="J41" s="7">
        <f t="shared" si="0"/>
        <v>-75</v>
      </c>
    </row>
    <row r="42" spans="5:10" ht="15.75" thickBot="1" x14ac:dyDescent="0.3">
      <c r="E42" s="2">
        <v>0</v>
      </c>
      <c r="F42" s="2">
        <v>168.8</v>
      </c>
      <c r="G42" s="2">
        <v>3750</v>
      </c>
      <c r="H42" s="5">
        <f>ex-cx*F42</f>
        <v>-3.4998376000000002</v>
      </c>
      <c r="I42" s="6">
        <f>IF(H42&gt;0,0,IF(H42&gt;-ec0,-fc*(-2*H42/ec0-(H42/ec0)^2),-fc))</f>
        <v>-20</v>
      </c>
      <c r="J42" s="7">
        <f t="shared" si="0"/>
        <v>-75</v>
      </c>
    </row>
    <row r="43" spans="5:10" ht="15.75" thickBot="1" x14ac:dyDescent="0.3">
      <c r="E43" s="2">
        <v>0</v>
      </c>
      <c r="F43" s="2">
        <v>181.3</v>
      </c>
      <c r="G43" s="2">
        <v>3750</v>
      </c>
      <c r="H43" s="5">
        <f>ex-cx*F43</f>
        <v>-3.4998626000000002</v>
      </c>
      <c r="I43" s="6">
        <f>IF(H43&gt;0,0,IF(H43&gt;-ec0,-fc*(-2*H43/ec0-(H43/ec0)^2),-fc))</f>
        <v>-20</v>
      </c>
      <c r="J43" s="7">
        <f t="shared" si="0"/>
        <v>-75</v>
      </c>
    </row>
    <row r="44" spans="5:10" ht="15.75" thickBot="1" x14ac:dyDescent="0.3">
      <c r="E44" s="2">
        <v>0</v>
      </c>
      <c r="F44" s="2">
        <v>193.8</v>
      </c>
      <c r="G44" s="2">
        <v>3750</v>
      </c>
      <c r="H44" s="5">
        <f>ex-cx*F44</f>
        <v>-3.4998876000000001</v>
      </c>
      <c r="I44" s="6">
        <f>IF(H44&gt;0,0,IF(H44&gt;-ec0,-fc*(-2*H44/ec0-(H44/ec0)^2),-fc))</f>
        <v>-20</v>
      </c>
      <c r="J44" s="7">
        <f t="shared" si="0"/>
        <v>-75</v>
      </c>
    </row>
    <row r="45" spans="5:10" ht="15.75" thickBot="1" x14ac:dyDescent="0.3">
      <c r="E45" s="2">
        <v>0</v>
      </c>
      <c r="F45" s="2">
        <v>206.3</v>
      </c>
      <c r="G45" s="2">
        <v>3750</v>
      </c>
      <c r="H45" s="5">
        <f>ex-cx*F45</f>
        <v>-3.4999126</v>
      </c>
      <c r="I45" s="6">
        <f>IF(H45&gt;0,0,IF(H45&gt;-ec0,-fc*(-2*H45/ec0-(H45/ec0)^2),-fc))</f>
        <v>-20</v>
      </c>
      <c r="J45" s="7">
        <f t="shared" si="0"/>
        <v>-75</v>
      </c>
    </row>
    <row r="46" spans="5:10" ht="15.75" thickBot="1" x14ac:dyDescent="0.3">
      <c r="E46" s="2">
        <v>0</v>
      </c>
      <c r="F46" s="2">
        <v>218.8</v>
      </c>
      <c r="G46" s="2">
        <v>3750</v>
      </c>
      <c r="H46" s="5">
        <f>ex-cx*F46</f>
        <v>-3.4999376000000004</v>
      </c>
      <c r="I46" s="6">
        <f>IF(H46&gt;0,0,IF(H46&gt;-ec0,-fc*(-2*H46/ec0-(H46/ec0)^2),-fc))</f>
        <v>-20</v>
      </c>
      <c r="J46" s="7">
        <f t="shared" si="0"/>
        <v>-75</v>
      </c>
    </row>
    <row r="47" spans="5:10" ht="15.75" thickBot="1" x14ac:dyDescent="0.3">
      <c r="E47" s="2">
        <v>0</v>
      </c>
      <c r="F47" s="2">
        <v>231.3</v>
      </c>
      <c r="G47" s="2">
        <v>3750</v>
      </c>
      <c r="H47" s="5">
        <f>ex-cx*F47</f>
        <v>-3.4999626000000004</v>
      </c>
      <c r="I47" s="6">
        <f>IF(H47&gt;0,0,IF(H47&gt;-ec0,-fc*(-2*H47/ec0-(H47/ec0)^2),-fc))</f>
        <v>-20</v>
      </c>
      <c r="J47" s="7">
        <f t="shared" si="0"/>
        <v>-75</v>
      </c>
    </row>
    <row r="48" spans="5:10" ht="15.75" thickBot="1" x14ac:dyDescent="0.3">
      <c r="E48" s="2">
        <v>0</v>
      </c>
      <c r="F48" s="2">
        <v>243.8</v>
      </c>
      <c r="G48" s="2">
        <v>3750</v>
      </c>
      <c r="H48" s="5">
        <f>ex-cx*F48</f>
        <v>-3.4999876000000003</v>
      </c>
      <c r="I48" s="6">
        <f>IF(H48&gt;0,0,IF(H48&gt;-ec0,-fc*(-2*H48/ec0-(H48/ec0)^2),-fc))</f>
        <v>-20</v>
      </c>
      <c r="J48" s="7">
        <f t="shared" si="0"/>
        <v>-75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13</vt:i4>
      </vt:variant>
    </vt:vector>
  </HeadingPairs>
  <TitlesOfParts>
    <vt:vector size="14" baseType="lpstr">
      <vt:lpstr>Sheet1</vt:lpstr>
      <vt:lpstr>cx</vt:lpstr>
      <vt:lpstr>ec</vt:lpstr>
      <vt:lpstr>ec0</vt:lpstr>
      <vt:lpstr>ect</vt:lpstr>
      <vt:lpstr>ecu</vt:lpstr>
      <vt:lpstr>Es</vt:lpstr>
      <vt:lpstr>esu</vt:lpstr>
      <vt:lpstr>ex</vt:lpstr>
      <vt:lpstr>fc</vt:lpstr>
      <vt:lpstr>fy</vt:lpstr>
      <vt:lpstr>hy</vt:lpstr>
      <vt:lpstr>Yg</vt:lpstr>
      <vt:lpstr>yn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Gruppo Tecnica</dc:creator>
  <cp:lastModifiedBy>ICAR09</cp:lastModifiedBy>
  <dcterms:created xsi:type="dcterms:W3CDTF">2015-06-05T18:17:20Z</dcterms:created>
  <dcterms:modified xsi:type="dcterms:W3CDTF">2023-06-28T08:25:02Z</dcterms:modified>
</cp:coreProperties>
</file>